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84"/>
  </bookViews>
  <sheets>
    <sheet name="eval_multi" sheetId="1" r:id="rId1"/>
  </sheets>
  <calcPr calcId="144525"/>
</workbook>
</file>

<file path=xl/sharedStrings.xml><?xml version="1.0" encoding="utf-8"?>
<sst xmlns="http://schemas.openxmlformats.org/spreadsheetml/2006/main" count="138" uniqueCount="84">
  <si>
    <t>ari</t>
  </si>
  <si>
    <t>arifg</t>
  </si>
  <si>
    <t>mbo</t>
  </si>
  <si>
    <t>miou</t>
  </si>
  <si>
    <t>slate_r_vqvae-clevrtex-42</t>
  </si>
  <si>
    <t>mean</t>
  </si>
  <si>
    <t>slate_r_vqvae-clevrtex-43</t>
  </si>
  <si>
    <t>std</t>
  </si>
  <si>
    <t>slate_r_vqvae-clevrtex-44</t>
  </si>
  <si>
    <t>slate_r_vqvae-coco-42</t>
  </si>
  <si>
    <t>slate_r_vqvae-coco-43</t>
  </si>
  <si>
    <t>slate_r_vqvae-coco-44</t>
  </si>
  <si>
    <t>slate_r_vqvae-voc-42</t>
  </si>
  <si>
    <t>slate_r_vqvae-voc-43</t>
  </si>
  <si>
    <t>slate_r_vqvae-voc-44</t>
  </si>
  <si>
    <t>steve_c_vqvae-movi_d-42</t>
  </si>
  <si>
    <t>steve_c_vqvae-movi_d-43</t>
  </si>
  <si>
    <t>steve_c_vqvae-movi_d-44</t>
  </si>
  <si>
    <t>vqdino_tfd_r-clevrtex-42</t>
  </si>
  <si>
    <t>vqdino_tfd_r-clevrtex-43</t>
  </si>
  <si>
    <t>vqdino_tfd_r-clevrtex-44</t>
  </si>
  <si>
    <t>vqdino_tfd_r-coco-42</t>
  </si>
  <si>
    <t>vqdino_tfd_r-coco-43</t>
  </si>
  <si>
    <t>vqdino_tfd_r-coco-44</t>
  </si>
  <si>
    <t>vqdino_tfd_r-voc-42</t>
  </si>
  <si>
    <t>vqdino_tfd_r-voc-43</t>
  </si>
  <si>
    <t>vqdino_tfd_r-voc-44</t>
  </si>
  <si>
    <t>vqdino_tfdt_c-movi_d-42</t>
  </si>
  <si>
    <t>vqdino_tfdt_c-movi_d-43</t>
  </si>
  <si>
    <t>vqdino_tfdt_c-movi_d-44</t>
  </si>
  <si>
    <t>dinosaur_r-clevrtex-42</t>
  </si>
  <si>
    <t>dinosaur_r-clevrtex-43</t>
  </si>
  <si>
    <t>dinosaur_r-clevrtex-44</t>
  </si>
  <si>
    <t>dinosaur_r-coco-42</t>
  </si>
  <si>
    <t>dinosaur_r-coco-43</t>
  </si>
  <si>
    <t>dinosaur_r-coco-44</t>
  </si>
  <si>
    <t>dinosaur_r-voc-42</t>
  </si>
  <si>
    <t>dinosaur_r-voc-43</t>
  </si>
  <si>
    <t>dinosaur_r-voc-44</t>
  </si>
  <si>
    <t>vqdino_mlp_r-clevrtex-42</t>
  </si>
  <si>
    <t>vqdino_mlp_r-clevrtex-43</t>
  </si>
  <si>
    <t>vqdino_mlp_r-clevrtex-44</t>
  </si>
  <si>
    <t>vqdino_mlp_r-coco-42</t>
  </si>
  <si>
    <t>vqdino_mlp_r-coco-43</t>
  </si>
  <si>
    <t>vqdino_mlp_r-coco-44</t>
  </si>
  <si>
    <t>vqdino_mlp_r-voc-42</t>
  </si>
  <si>
    <t>vqdino_mlp_r-voc-43</t>
  </si>
  <si>
    <t>vqdino_mlp_r-voc-44</t>
  </si>
  <si>
    <t>slotdiffusion_r_vqvae-clevrtex-42</t>
  </si>
  <si>
    <t>slotdiffusion_r_vqvae-clevrtex-43</t>
  </si>
  <si>
    <t>slotdiffusion_r_vqvae-clevrtex-44</t>
  </si>
  <si>
    <t>slotdiffusion_r_vqvae-coco-42</t>
  </si>
  <si>
    <t>slotdiffusion_r_vqvae-coco-43</t>
  </si>
  <si>
    <t>slotdiffusion_r_vqvae-coco-44</t>
  </si>
  <si>
    <t>slotdiffusion_r_vqvae-voc-42</t>
  </si>
  <si>
    <t>slotdiffusion_r_vqvae-voc-43</t>
  </si>
  <si>
    <t>slotdiffusion_r_vqvae-voc-44</t>
  </si>
  <si>
    <t>vqdino_dfz_r-clevrtex-42</t>
  </si>
  <si>
    <t>vqdino_dfz_r-clevrtex-43</t>
  </si>
  <si>
    <t>vqdino_dfz_r-clevrtex-44</t>
  </si>
  <si>
    <t>vqdino_dfz_r-coco-42</t>
  </si>
  <si>
    <t>vqdino_dfz_r-coco-43</t>
  </si>
  <si>
    <t>vqdino_dfz_r-coco-44</t>
  </si>
  <si>
    <t>vqdino_dfz_r-voc-42</t>
  </si>
  <si>
    <t>vqdino_dfz_r-voc-43</t>
  </si>
  <si>
    <t>vqdino_dfz_r-voc-44</t>
  </si>
  <si>
    <t>slate_r_vqvae-coco-r384-42</t>
  </si>
  <si>
    <t>slate_r_vqvae-coco-r384-43</t>
  </si>
  <si>
    <t>slate_r_vqvae-coco-r384-44</t>
  </si>
  <si>
    <t>vqdino_tfd_r-coco-r384-42</t>
  </si>
  <si>
    <t>vqdino_tfd_r-coco-r384-43</t>
  </si>
  <si>
    <t>vqdino_tfd_r-coco-r384-44</t>
  </si>
  <si>
    <t>dinosaur_r-coco-r384-42</t>
  </si>
  <si>
    <t>dinosaur_r-coco-r384-43</t>
  </si>
  <si>
    <t>dinosaur_r-coco-r384-44</t>
  </si>
  <si>
    <t>vqdino_mlp_r-coco-r384-42</t>
  </si>
  <si>
    <t>vqdino_mlp_r-coco-r384-43</t>
  </si>
  <si>
    <t>vqdino_mlp_r-coco-r384-44</t>
  </si>
  <si>
    <t>slotdiffusion_r_vqvae-coco-r384-42</t>
  </si>
  <si>
    <t>slotdiffusion_r_vqvae-coco-r384-43</t>
  </si>
  <si>
    <t>slotdiffusion_r_vqvae-coco-r384-44</t>
  </si>
  <si>
    <t>vqdino_dfz_r-coco-r384-42</t>
  </si>
  <si>
    <t>vqdino_dfz_r-coco-r384-43</t>
  </si>
  <si>
    <t>vqdino_dfz_r-coco-r384-44</t>
  </si>
</sst>
</file>

<file path=xl/styles.xml><?xml version="1.0" encoding="utf-8"?>
<styleSheet xmlns="http://schemas.openxmlformats.org/spreadsheetml/2006/main">
  <numFmts count="5">
    <numFmt numFmtId="176" formatCode="0.0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2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tabSelected="1" zoomScaleSheetLayoutView="60" workbookViewId="0">
      <selection activeCell="N12" sqref="N12"/>
    </sheetView>
  </sheetViews>
  <sheetFormatPr defaultColWidth="10" defaultRowHeight="14.4"/>
  <cols>
    <col min="1" max="1" width="33.5555555555556" customWidth="1"/>
    <col min="2" max="5" width="11.7777777777778"/>
    <col min="8" max="11" width="12.8888888888889"/>
  </cols>
  <sheetData>
    <row r="1" spans="2:11">
      <c r="B1" t="s">
        <v>0</v>
      </c>
      <c r="C1" t="s">
        <v>1</v>
      </c>
      <c r="D1" t="s">
        <v>2</v>
      </c>
      <c r="E1" t="s">
        <v>3</v>
      </c>
      <c r="H1" t="s">
        <v>0</v>
      </c>
      <c r="I1" t="s">
        <v>1</v>
      </c>
      <c r="J1" t="s">
        <v>2</v>
      </c>
      <c r="K1" t="s">
        <v>3</v>
      </c>
    </row>
    <row r="2" spans="1:11">
      <c r="A2" t="s">
        <v>4</v>
      </c>
      <c r="B2">
        <v>0.15944238</v>
      </c>
      <c r="C2">
        <v>0.87595671</v>
      </c>
      <c r="D2">
        <v>0.44735795</v>
      </c>
      <c r="E2">
        <v>0.43664154</v>
      </c>
      <c r="G2" t="s">
        <v>5</v>
      </c>
      <c r="H2" s="1">
        <f>AVERAGE(B2:B4)*100</f>
        <v>17.4379136666667</v>
      </c>
      <c r="I2" s="1">
        <f>AVERAGE(C2:C4)*100</f>
        <v>87.362164</v>
      </c>
      <c r="J2" s="1">
        <f>AVERAGE(D2:D4)*100</f>
        <v>44.4623963333333</v>
      </c>
      <c r="K2" s="1">
        <f>AVERAGE(E2:E4)*100</f>
        <v>43.3211453333333</v>
      </c>
    </row>
    <row r="3" spans="1:11">
      <c r="A3" t="s">
        <v>6</v>
      </c>
      <c r="B3">
        <v>0.15621759</v>
      </c>
      <c r="C3">
        <v>0.85567969</v>
      </c>
      <c r="D3">
        <v>0.42102098</v>
      </c>
      <c r="E3">
        <v>0.40809512</v>
      </c>
      <c r="G3" t="s">
        <v>7</v>
      </c>
      <c r="H3" s="1">
        <f>STDEV(B2:B4)*100</f>
        <v>2.87092856110185</v>
      </c>
      <c r="I3" s="1">
        <f>STDEV(C2:C4)*100</f>
        <v>1.68958696882078</v>
      </c>
      <c r="J3" s="1">
        <f>STDEV(D2:D4)*100</f>
        <v>2.2361691876963</v>
      </c>
      <c r="K3" s="1">
        <f>STDEV(E2:E4)*100</f>
        <v>2.35890757464072</v>
      </c>
    </row>
    <row r="4" spans="1:11">
      <c r="A4" t="s">
        <v>8</v>
      </c>
      <c r="B4">
        <v>0.20747744</v>
      </c>
      <c r="C4">
        <v>0.88922852</v>
      </c>
      <c r="D4">
        <v>0.46549296</v>
      </c>
      <c r="E4">
        <v>0.4548977</v>
      </c>
      <c r="H4" s="1"/>
      <c r="I4" s="1"/>
      <c r="J4" s="1"/>
      <c r="K4" s="1"/>
    </row>
    <row r="5" spans="1:11">
      <c r="A5" t="s">
        <v>9</v>
      </c>
      <c r="B5">
        <v>0.21033987</v>
      </c>
      <c r="C5">
        <v>0.28870136</v>
      </c>
      <c r="D5">
        <v>0.2763896</v>
      </c>
      <c r="E5">
        <v>0.26275539</v>
      </c>
      <c r="G5" t="s">
        <v>5</v>
      </c>
      <c r="H5" s="1">
        <f>AVERAGE(B5:B7)*100</f>
        <v>20.515676</v>
      </c>
      <c r="I5" s="1">
        <f>AVERAGE(C5:C7)*100</f>
        <v>28.7975103333333</v>
      </c>
      <c r="J5" s="1">
        <f>AVERAGE(D5:D7)*100</f>
        <v>27.4334143333333</v>
      </c>
      <c r="K5" s="1">
        <f>AVERAGE(E5:E7)*100</f>
        <v>26.0752526666667</v>
      </c>
    </row>
    <row r="6" spans="1:11">
      <c r="A6" t="s">
        <v>10</v>
      </c>
      <c r="B6">
        <v>0.2065455</v>
      </c>
      <c r="C6">
        <v>0.29074591</v>
      </c>
      <c r="D6">
        <v>0.27563325</v>
      </c>
      <c r="E6">
        <v>0.26251724</v>
      </c>
      <c r="G6" t="s">
        <v>7</v>
      </c>
      <c r="H6" s="1">
        <f>STDEV(B5:B7)*100</f>
        <v>0.599926830881067</v>
      </c>
      <c r="I6" s="1">
        <f>STDEV(C5:C7)*100</f>
        <v>0.319642536963299</v>
      </c>
      <c r="J6" s="1">
        <f>STDEV(D5:D7)*100</f>
        <v>0.292964805030116</v>
      </c>
      <c r="K6" s="1">
        <f>STDEV(E5:E7)*100</f>
        <v>0.326498917456602</v>
      </c>
    </row>
    <row r="7" spans="1:11">
      <c r="A7" t="s">
        <v>11</v>
      </c>
      <c r="B7">
        <v>0.19858491</v>
      </c>
      <c r="C7">
        <v>0.28447804</v>
      </c>
      <c r="D7">
        <v>0.27097958</v>
      </c>
      <c r="E7">
        <v>0.25698495</v>
      </c>
      <c r="H7" s="1"/>
      <c r="I7" s="1"/>
      <c r="J7" s="1"/>
      <c r="K7" s="1"/>
    </row>
    <row r="8" spans="1:11">
      <c r="A8" t="s">
        <v>12</v>
      </c>
      <c r="B8">
        <v>0.22216898</v>
      </c>
      <c r="C8">
        <v>0.25789899</v>
      </c>
      <c r="D8">
        <v>0.37321097</v>
      </c>
      <c r="E8">
        <v>0.36301881</v>
      </c>
      <c r="G8" t="s">
        <v>5</v>
      </c>
      <c r="H8" s="1">
        <f>AVERAGE(B8:B10)*100</f>
        <v>22.391769</v>
      </c>
      <c r="I8" s="1">
        <f>AVERAGE(C8:C10)*100</f>
        <v>26.2611093333333</v>
      </c>
      <c r="J8" s="1">
        <f>AVERAGE(D8:D10)*100</f>
        <v>37.7595803333333</v>
      </c>
      <c r="K8" s="1">
        <f>AVERAGE(E8:E10)*100</f>
        <v>36.6282093333333</v>
      </c>
    </row>
    <row r="9" spans="1:11">
      <c r="A9" t="s">
        <v>13</v>
      </c>
      <c r="B9">
        <v>0.22534765</v>
      </c>
      <c r="C9">
        <v>0.27204129</v>
      </c>
      <c r="D9">
        <v>0.38001388</v>
      </c>
      <c r="E9">
        <v>0.36892411</v>
      </c>
      <c r="G9" t="s">
        <v>7</v>
      </c>
      <c r="H9" s="1">
        <f>STDEV(B8:B10)*100</f>
        <v>0.161312954039657</v>
      </c>
      <c r="I9" s="1">
        <f>STDEV(C8:C10)*100</f>
        <v>0.816679042519357</v>
      </c>
      <c r="J9" s="1">
        <f>STDEV(D8:D10)*100</f>
        <v>0.380407609761339</v>
      </c>
      <c r="K9" s="1">
        <f>STDEV(E8:E10)*100</f>
        <v>0.300126993551619</v>
      </c>
    </row>
    <row r="10" spans="1:11">
      <c r="A10" t="s">
        <v>14</v>
      </c>
      <c r="B10">
        <v>0.22423644</v>
      </c>
      <c r="C10">
        <v>0.257893</v>
      </c>
      <c r="D10">
        <v>0.37956256</v>
      </c>
      <c r="E10">
        <v>0.36690336</v>
      </c>
      <c r="H10" s="1"/>
      <c r="I10" s="1"/>
      <c r="J10" s="1"/>
      <c r="K10" s="1"/>
    </row>
    <row r="11" spans="1:11">
      <c r="A11" t="s">
        <v>15</v>
      </c>
      <c r="B11">
        <v>0.32484996</v>
      </c>
      <c r="C11">
        <v>0.6644879</v>
      </c>
      <c r="D11">
        <v>0.22756024</v>
      </c>
      <c r="E11">
        <v>0.20885529</v>
      </c>
      <c r="G11" t="s">
        <v>5</v>
      </c>
      <c r="H11" s="1">
        <f>AVERAGE(B11:B13)*100</f>
        <v>32.6884903333333</v>
      </c>
      <c r="I11" s="1">
        <f>AVERAGE(C11:C13)*100</f>
        <v>66.5421326666667</v>
      </c>
      <c r="J11" s="1">
        <f>AVERAGE(D11:D13)*100</f>
        <v>23.047013</v>
      </c>
      <c r="K11" s="1">
        <f>AVERAGE(E11:E13)*100</f>
        <v>21.1828466666667</v>
      </c>
    </row>
    <row r="12" spans="1:11">
      <c r="A12" t="s">
        <v>16</v>
      </c>
      <c r="B12">
        <v>0.32701793</v>
      </c>
      <c r="C12">
        <v>0.66444218</v>
      </c>
      <c r="D12">
        <v>0.23203583</v>
      </c>
      <c r="E12">
        <v>0.21301356</v>
      </c>
      <c r="G12" t="s">
        <v>7</v>
      </c>
      <c r="H12" s="1">
        <f>STDEV(B11:B13)*100</f>
        <v>0.197179835060112</v>
      </c>
      <c r="I12" s="1">
        <f>STDEV(C11:C13)*100</f>
        <v>0.165649483733979</v>
      </c>
      <c r="J12" s="1">
        <f>STDEV(D11:D13)*100</f>
        <v>0.252247131383094</v>
      </c>
      <c r="K12" s="1">
        <f>STDEV(E11:E13)*100</f>
        <v>0.259243782055295</v>
      </c>
    </row>
    <row r="13" spans="1:11">
      <c r="A13" t="s">
        <v>17</v>
      </c>
      <c r="B13">
        <v>0.32878682</v>
      </c>
      <c r="C13">
        <v>0.6673339</v>
      </c>
      <c r="D13">
        <v>0.23181432</v>
      </c>
      <c r="E13">
        <v>0.21361655</v>
      </c>
      <c r="H13" s="1"/>
      <c r="I13" s="1"/>
      <c r="J13" s="1"/>
      <c r="K13" s="1"/>
    </row>
    <row r="14" spans="1:11">
      <c r="A14" t="s">
        <v>18</v>
      </c>
      <c r="B14">
        <v>0.34458017</v>
      </c>
      <c r="C14">
        <v>0.86181736</v>
      </c>
      <c r="D14">
        <v>0.5162155</v>
      </c>
      <c r="E14">
        <v>0.50770438</v>
      </c>
      <c r="G14" t="s">
        <v>5</v>
      </c>
      <c r="H14" s="1">
        <f>AVERAGE(B14:B16)*100</f>
        <v>55.4285743333333</v>
      </c>
      <c r="I14" s="1">
        <f>AVERAGE(C14:C16)*100</f>
        <v>85.858035</v>
      </c>
      <c r="J14" s="1">
        <f>AVERAGE(D14:D16)*100</f>
        <v>54.3757576666667</v>
      </c>
      <c r="K14" s="1">
        <f>AVERAGE(E14:E16)*100</f>
        <v>53.565735</v>
      </c>
    </row>
    <row r="15" spans="1:11">
      <c r="A15" t="s">
        <v>19</v>
      </c>
      <c r="B15">
        <v>0.6736058</v>
      </c>
      <c r="C15">
        <v>0.8502661</v>
      </c>
      <c r="D15">
        <v>0.56199783</v>
      </c>
      <c r="E15">
        <v>0.55420429</v>
      </c>
      <c r="G15" t="s">
        <v>7</v>
      </c>
      <c r="H15" s="1">
        <f>STDEV(B14:B16)*100</f>
        <v>18.2185681425708</v>
      </c>
      <c r="I15" s="1">
        <f>STDEV(C14:C16)*100</f>
        <v>0.725890325118744</v>
      </c>
      <c r="J15" s="1">
        <f>STDEV(D14:D16)*100</f>
        <v>2.42672283759525</v>
      </c>
      <c r="K15" s="1">
        <f>STDEV(E14:E16)*100</f>
        <v>2.46356541981881</v>
      </c>
    </row>
    <row r="16" spans="1:11">
      <c r="A16" t="s">
        <v>20</v>
      </c>
      <c r="B16">
        <v>0.64467126</v>
      </c>
      <c r="C16">
        <v>0.86365759</v>
      </c>
      <c r="D16">
        <v>0.5530594</v>
      </c>
      <c r="E16">
        <v>0.54506338</v>
      </c>
      <c r="H16" s="1"/>
      <c r="I16" s="1"/>
      <c r="J16" s="1"/>
      <c r="K16" s="1"/>
    </row>
    <row r="17" spans="1:11">
      <c r="A17" t="s">
        <v>21</v>
      </c>
      <c r="B17">
        <v>0.24999255</v>
      </c>
      <c r="C17">
        <v>0.30964002</v>
      </c>
      <c r="D17">
        <v>0.30395016</v>
      </c>
      <c r="E17">
        <v>0.29051259</v>
      </c>
      <c r="G17" t="s">
        <v>5</v>
      </c>
      <c r="H17" s="1">
        <f>AVERAGE(B17:B19)*100</f>
        <v>24.3531153333333</v>
      </c>
      <c r="I17" s="1">
        <f>AVERAGE(C17:C19)*100</f>
        <v>31.499367</v>
      </c>
      <c r="J17" s="1">
        <f>AVERAGE(D17:D19)*100</f>
        <v>30.2356273333333</v>
      </c>
      <c r="K17" s="1">
        <f>AVERAGE(E17:E19)*100</f>
        <v>28.8139106666667</v>
      </c>
    </row>
    <row r="18" spans="1:11">
      <c r="A18" t="s">
        <v>22</v>
      </c>
      <c r="B18">
        <v>0.22124566</v>
      </c>
      <c r="C18">
        <v>0.32729539</v>
      </c>
      <c r="D18">
        <v>0.29529223</v>
      </c>
      <c r="E18">
        <v>0.27972788</v>
      </c>
      <c r="G18" t="s">
        <v>7</v>
      </c>
      <c r="H18" s="1">
        <f>STDEV(B17:B19)*100</f>
        <v>1.98594422795564</v>
      </c>
      <c r="I18" s="1">
        <f>STDEV(C17:C19)*100</f>
        <v>1.06833880395173</v>
      </c>
      <c r="J18" s="1">
        <f>STDEV(D17:D19)*100</f>
        <v>0.641731240003425</v>
      </c>
      <c r="K18" s="1">
        <f>STDEV(E17:E19)*100</f>
        <v>0.751120834922274</v>
      </c>
    </row>
    <row r="19" spans="1:11">
      <c r="A19" t="s">
        <v>23</v>
      </c>
      <c r="B19">
        <v>0.25935525</v>
      </c>
      <c r="C19">
        <v>0.3080456</v>
      </c>
      <c r="D19">
        <v>0.30782643</v>
      </c>
      <c r="E19">
        <v>0.29417685</v>
      </c>
      <c r="H19" s="1"/>
      <c r="I19" s="1"/>
      <c r="J19" s="1"/>
      <c r="K19" s="1"/>
    </row>
    <row r="20" spans="1:11">
      <c r="A20" t="s">
        <v>24</v>
      </c>
      <c r="B20">
        <v>0.26555267</v>
      </c>
      <c r="C20">
        <v>0.28393701</v>
      </c>
      <c r="D20">
        <v>0.4054099</v>
      </c>
      <c r="E20">
        <v>0.39569238</v>
      </c>
      <c r="G20" t="s">
        <v>5</v>
      </c>
      <c r="H20" s="1">
        <f>AVERAGE(B20:B22)*100</f>
        <v>26.8908243333333</v>
      </c>
      <c r="I20" s="1">
        <f>AVERAGE(C20:C22)*100</f>
        <v>26.855751</v>
      </c>
      <c r="J20" s="1">
        <f>AVERAGE(D20:D22)*100</f>
        <v>40.4891353333333</v>
      </c>
      <c r="K20" s="1">
        <f>AVERAGE(E20:E22)*100</f>
        <v>39.5105063333333</v>
      </c>
    </row>
    <row r="21" spans="1:11">
      <c r="A21" t="s">
        <v>25</v>
      </c>
      <c r="B21">
        <v>0.26172605</v>
      </c>
      <c r="C21">
        <v>0.26516649</v>
      </c>
      <c r="D21">
        <v>0.40126461</v>
      </c>
      <c r="E21">
        <v>0.39121005</v>
      </c>
      <c r="G21" t="s">
        <v>7</v>
      </c>
      <c r="H21" s="1">
        <f>STDEV(B20:B22)*100</f>
        <v>0.932438469267188</v>
      </c>
      <c r="I21" s="1">
        <f>STDEV(C20:C22)*100</f>
        <v>1.39955651833143</v>
      </c>
      <c r="J21" s="1">
        <f>STDEV(D20:D22)*100</f>
        <v>0.339728158753925</v>
      </c>
      <c r="K21" s="1">
        <f>STDEV(E20:E22)*100</f>
        <v>0.363709547389581</v>
      </c>
    </row>
    <row r="22" spans="1:11">
      <c r="A22" t="s">
        <v>26</v>
      </c>
      <c r="B22">
        <v>0.27944601</v>
      </c>
      <c r="C22">
        <v>0.25656903</v>
      </c>
      <c r="D22">
        <v>0.40799955</v>
      </c>
      <c r="E22">
        <v>0.39841276</v>
      </c>
      <c r="H22" s="1"/>
      <c r="I22" s="1"/>
      <c r="J22" s="1"/>
      <c r="K22" s="1"/>
    </row>
    <row r="23" spans="1:11">
      <c r="A23" t="s">
        <v>27</v>
      </c>
      <c r="B23">
        <v>0.37109679</v>
      </c>
      <c r="C23">
        <v>0.74295878</v>
      </c>
      <c r="D23">
        <v>0.2687856</v>
      </c>
      <c r="E23">
        <v>0.25467852</v>
      </c>
      <c r="G23" t="s">
        <v>5</v>
      </c>
      <c r="H23" s="1">
        <f>AVERAGE(B23:B25)*100</f>
        <v>36.7388833333333</v>
      </c>
      <c r="I23" s="1">
        <f>AVERAGE(C23:C25)*100</f>
        <v>72.4693256666667</v>
      </c>
      <c r="J23" s="1">
        <f>AVERAGE(D23:D25)*100</f>
        <v>26.1415843333333</v>
      </c>
      <c r="K23" s="1">
        <f>AVERAGE(E23:E25)*100</f>
        <v>24.6128046666667</v>
      </c>
    </row>
    <row r="24" spans="1:11">
      <c r="A24" t="s">
        <v>28</v>
      </c>
      <c r="B24">
        <v>0.36843684</v>
      </c>
      <c r="C24">
        <v>0.74939191</v>
      </c>
      <c r="D24">
        <v>0.26766258</v>
      </c>
      <c r="E24">
        <v>0.25307843</v>
      </c>
      <c r="G24" t="s">
        <v>7</v>
      </c>
      <c r="H24" s="1">
        <f>STDEV(B23:B25)*100</f>
        <v>0.432818945075575</v>
      </c>
      <c r="I24" s="1">
        <f>STDEV(C23:C25)*100</f>
        <v>3.7346842542344</v>
      </c>
      <c r="J24" s="1">
        <f>STDEV(D23:D25)*100</f>
        <v>1.18055902648971</v>
      </c>
      <c r="K24" s="1">
        <f>STDEV(E23:E25)*100</f>
        <v>1.34479548650504</v>
      </c>
    </row>
    <row r="25" spans="1:11">
      <c r="A25" t="s">
        <v>29</v>
      </c>
      <c r="B25">
        <v>0.36263287</v>
      </c>
      <c r="C25">
        <v>0.68172908</v>
      </c>
      <c r="D25">
        <v>0.24779935</v>
      </c>
      <c r="E25">
        <v>0.23062719</v>
      </c>
      <c r="H25" s="1"/>
      <c r="I25" s="1"/>
      <c r="J25" s="1"/>
      <c r="K25" s="1"/>
    </row>
    <row r="26" spans="1:11">
      <c r="A26" t="s">
        <v>30</v>
      </c>
      <c r="B26">
        <v>0.22043157</v>
      </c>
      <c r="C26">
        <v>0.89681751</v>
      </c>
      <c r="D26">
        <v>0.46029252</v>
      </c>
      <c r="E26">
        <v>0.45428216</v>
      </c>
      <c r="G26" t="s">
        <v>5</v>
      </c>
      <c r="H26" s="1">
        <f>AVERAGE(B26:B28)*100</f>
        <v>49.5521843333333</v>
      </c>
      <c r="I26" s="1">
        <f>AVERAGE(C26:C28)*100</f>
        <v>89.4214153333333</v>
      </c>
      <c r="J26" s="1">
        <f>AVERAGE(D26:D28)*100</f>
        <v>52.1377366666667</v>
      </c>
      <c r="K26" s="1">
        <f>AVERAGE(E26:E28)*100</f>
        <v>51.6621806666667</v>
      </c>
    </row>
    <row r="27" spans="1:11">
      <c r="A27" t="s">
        <v>31</v>
      </c>
      <c r="B27">
        <v>0.62444514</v>
      </c>
      <c r="C27">
        <v>0.89413249</v>
      </c>
      <c r="D27">
        <v>0.5428921</v>
      </c>
      <c r="E27">
        <v>0.53806084</v>
      </c>
      <c r="G27" t="s">
        <v>7</v>
      </c>
      <c r="H27" s="1">
        <f>STDEV(B26:B28)*100</f>
        <v>23.8391128163239</v>
      </c>
      <c r="I27" s="1">
        <f>STDEV(C26:C28)*100</f>
        <v>0.256350074129758</v>
      </c>
      <c r="J27" s="1">
        <f>STDEV(D26:D28)*100</f>
        <v>5.36657996861477</v>
      </c>
      <c r="K27" s="1">
        <f>STDEV(E26:E28)*100</f>
        <v>5.48576515530672</v>
      </c>
    </row>
    <row r="28" spans="1:11">
      <c r="A28" t="s">
        <v>32</v>
      </c>
      <c r="B28">
        <v>0.64168882</v>
      </c>
      <c r="C28">
        <v>0.89169246</v>
      </c>
      <c r="D28">
        <v>0.56094748</v>
      </c>
      <c r="E28">
        <v>0.55752242</v>
      </c>
      <c r="H28" s="1"/>
      <c r="I28" s="1"/>
      <c r="J28" s="1"/>
      <c r="K28" s="1"/>
    </row>
    <row r="29" spans="1:11">
      <c r="A29" t="s">
        <v>33</v>
      </c>
      <c r="B29">
        <v>0.21174438</v>
      </c>
      <c r="C29">
        <v>0.35667473</v>
      </c>
      <c r="D29">
        <v>0.28468749</v>
      </c>
      <c r="E29">
        <v>0.27122939</v>
      </c>
      <c r="G29" t="s">
        <v>5</v>
      </c>
      <c r="H29" s="1">
        <f>AVERAGE(B29:B31)*100</f>
        <v>21.1445466666667</v>
      </c>
      <c r="I29" s="1">
        <f>AVERAGE(C29:C31)*100</f>
        <v>37.0460956666667</v>
      </c>
      <c r="J29" s="1">
        <f>AVERAGE(D29:D31)*100</f>
        <v>28.6554166666667</v>
      </c>
      <c r="K29" s="1">
        <f>AVERAGE(E29:E31)*100</f>
        <v>27.3100913333333</v>
      </c>
    </row>
    <row r="30" spans="1:11">
      <c r="A30" t="s">
        <v>34</v>
      </c>
      <c r="B30">
        <v>0.2208384</v>
      </c>
      <c r="C30">
        <v>0.37595609</v>
      </c>
      <c r="D30">
        <v>0.29176578</v>
      </c>
      <c r="E30">
        <v>0.2783463</v>
      </c>
      <c r="G30" t="s">
        <v>7</v>
      </c>
      <c r="H30" s="1">
        <f>STDEV(B29:B31)*100</f>
        <v>0.954590062789957</v>
      </c>
      <c r="I30" s="1">
        <f>STDEV(C29:C31)*100</f>
        <v>1.20207895896623</v>
      </c>
      <c r="J30" s="1">
        <f>STDEV(D29:D31)*100</f>
        <v>0.457351050168613</v>
      </c>
      <c r="K30" s="1">
        <f>STDEV(E29:E31)*100</f>
        <v>0.46043259366636</v>
      </c>
    </row>
    <row r="31" spans="1:11">
      <c r="A31" t="s">
        <v>35</v>
      </c>
      <c r="B31">
        <v>0.20175362</v>
      </c>
      <c r="C31">
        <v>0.37875205</v>
      </c>
      <c r="D31">
        <v>0.28320923</v>
      </c>
      <c r="E31">
        <v>0.26972705</v>
      </c>
      <c r="H31" s="1"/>
      <c r="I31" s="1"/>
      <c r="J31" s="1"/>
      <c r="K31" s="1"/>
    </row>
    <row r="32" spans="1:11">
      <c r="A32" t="s">
        <v>36</v>
      </c>
      <c r="B32">
        <v>0.25917143</v>
      </c>
      <c r="C32">
        <v>0.36342737</v>
      </c>
      <c r="D32">
        <v>0.41819113</v>
      </c>
      <c r="E32">
        <v>0.40923822</v>
      </c>
      <c r="G32" t="s">
        <v>5</v>
      </c>
      <c r="H32" s="1">
        <f>AVERAGE(B32:B34)*100</f>
        <v>25.6656546666667</v>
      </c>
      <c r="I32" s="1">
        <f>AVERAGE(C32:C34)*100</f>
        <v>36.3344323333333</v>
      </c>
      <c r="J32" s="1">
        <f>AVERAGE(D32:D34)*100</f>
        <v>41.1548463333333</v>
      </c>
      <c r="K32" s="1">
        <f>AVERAGE(E32:E34)*100</f>
        <v>40.2371743333333</v>
      </c>
    </row>
    <row r="33" spans="1:11">
      <c r="A33" t="s">
        <v>37</v>
      </c>
      <c r="B33">
        <v>0.24971446</v>
      </c>
      <c r="C33">
        <v>0.3769587</v>
      </c>
      <c r="D33">
        <v>0.40773991</v>
      </c>
      <c r="E33">
        <v>0.39755228</v>
      </c>
      <c r="G33" t="s">
        <v>7</v>
      </c>
      <c r="H33" s="1">
        <f>STDEV(B32:B34)*100</f>
        <v>0.608758305169082</v>
      </c>
      <c r="I33" s="1">
        <f>STDEV(C32:C34)*100</f>
        <v>1.36560893879483</v>
      </c>
      <c r="J33" s="1">
        <f>STDEV(D32:D34)*100</f>
        <v>0.57733134906857</v>
      </c>
      <c r="K33" s="1">
        <f>STDEV(E32:E34)*100</f>
        <v>0.610598035626002</v>
      </c>
    </row>
    <row r="34" spans="1:11">
      <c r="A34" t="s">
        <v>38</v>
      </c>
      <c r="B34">
        <v>0.26108375</v>
      </c>
      <c r="C34">
        <v>0.3496469</v>
      </c>
      <c r="D34">
        <v>0.40871435</v>
      </c>
      <c r="E34">
        <v>0.40032473</v>
      </c>
      <c r="H34" s="1"/>
      <c r="I34" s="1"/>
      <c r="J34" s="1"/>
      <c r="K34" s="1"/>
    </row>
    <row r="35" spans="1:11">
      <c r="A35" t="s">
        <v>39</v>
      </c>
      <c r="B35">
        <v>0.64739817</v>
      </c>
      <c r="C35">
        <v>0.88255185</v>
      </c>
      <c r="D35">
        <v>0.55676335</v>
      </c>
      <c r="E35">
        <v>0.55167902</v>
      </c>
      <c r="G35" t="s">
        <v>5</v>
      </c>
      <c r="H35" s="1">
        <f>AVERAGE(B35:B37)*100</f>
        <v>64.7695363333333</v>
      </c>
      <c r="I35" s="1">
        <f>AVERAGE(C35:C37)*100</f>
        <v>88.8258256666667</v>
      </c>
      <c r="J35" s="1">
        <f>AVERAGE(D35:D37)*100</f>
        <v>56.083534</v>
      </c>
      <c r="K35" s="1">
        <f>AVERAGE(E35:E37)*100</f>
        <v>55.6663036666667</v>
      </c>
    </row>
    <row r="36" spans="1:11">
      <c r="A36" t="s">
        <v>40</v>
      </c>
      <c r="B36">
        <v>0.64494163</v>
      </c>
      <c r="C36">
        <v>0.88804334</v>
      </c>
      <c r="D36">
        <v>0.56041586</v>
      </c>
      <c r="E36">
        <v>0.55648744</v>
      </c>
      <c r="G36" t="s">
        <v>7</v>
      </c>
      <c r="H36" s="1">
        <f>STDEV(B35:B37)*100</f>
        <v>0.291371967370457</v>
      </c>
      <c r="I36" s="1">
        <f>STDEV(C35:C37)*100</f>
        <v>0.581684348409282</v>
      </c>
      <c r="J36" s="1">
        <f>STDEV(D35:D37)*100</f>
        <v>0.429711349578992</v>
      </c>
      <c r="K36" s="1">
        <f>STDEV(E35:E37)*100</f>
        <v>0.507409430699047</v>
      </c>
    </row>
    <row r="37" spans="1:11">
      <c r="A37" t="s">
        <v>41</v>
      </c>
      <c r="B37">
        <v>0.65074629</v>
      </c>
      <c r="C37">
        <v>0.89417958</v>
      </c>
      <c r="D37">
        <v>0.56532681</v>
      </c>
      <c r="E37">
        <v>0.56182265</v>
      </c>
      <c r="H37" s="1"/>
      <c r="I37" s="1"/>
      <c r="J37" s="1"/>
      <c r="K37" s="1"/>
    </row>
    <row r="38" spans="1:11">
      <c r="A38" t="s">
        <v>42</v>
      </c>
      <c r="B38">
        <v>0.2251728</v>
      </c>
      <c r="C38">
        <v>0.36501271</v>
      </c>
      <c r="D38">
        <v>0.29377955</v>
      </c>
      <c r="E38">
        <v>0.28070086</v>
      </c>
      <c r="G38" t="s">
        <v>5</v>
      </c>
      <c r="H38" s="1">
        <f>AVERAGE(B38:B40)*100</f>
        <v>22.1499086666667</v>
      </c>
      <c r="I38" s="1">
        <f>AVERAGE(C38:C40)*100</f>
        <v>36.000696</v>
      </c>
      <c r="J38" s="1">
        <f>AVERAGE(D38:D40)*100</f>
        <v>29.0831476666667</v>
      </c>
      <c r="K38" s="1">
        <f>AVERAGE(E38:E40)*100</f>
        <v>27.7878503333333</v>
      </c>
    </row>
    <row r="39" spans="1:11">
      <c r="A39" t="s">
        <v>43</v>
      </c>
      <c r="B39">
        <v>0.21681528</v>
      </c>
      <c r="C39">
        <v>0.3540785</v>
      </c>
      <c r="D39">
        <v>0.28832421</v>
      </c>
      <c r="E39">
        <v>0.27544609</v>
      </c>
      <c r="G39" t="s">
        <v>7</v>
      </c>
      <c r="H39" s="1">
        <f>STDEV(B38:B40)*100</f>
        <v>0.426933853707262</v>
      </c>
      <c r="I39" s="1">
        <f>STDEV(C38:C40)*100</f>
        <v>0.552519523538309</v>
      </c>
      <c r="J39" s="1">
        <f>STDEV(D38:D40)*100</f>
        <v>0.275425425785879</v>
      </c>
      <c r="K39" s="1">
        <f>STDEV(E38:E40)*100</f>
        <v>0.26489986392283</v>
      </c>
    </row>
    <row r="40" spans="1:11">
      <c r="A40" t="s">
        <v>44</v>
      </c>
      <c r="B40">
        <v>0.22250918</v>
      </c>
      <c r="C40">
        <v>0.36092967</v>
      </c>
      <c r="D40">
        <v>0.29039067</v>
      </c>
      <c r="E40">
        <v>0.27748856</v>
      </c>
      <c r="H40" s="1"/>
      <c r="I40" s="1"/>
      <c r="J40" s="1"/>
      <c r="K40" s="1"/>
    </row>
    <row r="41" spans="1:11">
      <c r="A41" t="s">
        <v>45</v>
      </c>
      <c r="B41">
        <v>0.25961101</v>
      </c>
      <c r="C41">
        <v>0.3586618</v>
      </c>
      <c r="D41">
        <v>0.41665635</v>
      </c>
      <c r="E41">
        <v>0.40781781</v>
      </c>
      <c r="G41" t="s">
        <v>5</v>
      </c>
      <c r="H41" s="1">
        <f>AVERAGE(B41:B43)*100</f>
        <v>25.867838</v>
      </c>
      <c r="I41" s="1">
        <f>AVERAGE(C41:C43)*100</f>
        <v>35.645025</v>
      </c>
      <c r="J41" s="1">
        <f>AVERAGE(D41:D43)*100</f>
        <v>41.4757573333333</v>
      </c>
      <c r="K41" s="1">
        <f>AVERAGE(E41:E43)*100</f>
        <v>40.5710013333333</v>
      </c>
    </row>
    <row r="42" spans="1:11">
      <c r="A42" t="s">
        <v>46</v>
      </c>
      <c r="B42">
        <v>0.24946795</v>
      </c>
      <c r="C42">
        <v>0.36401057</v>
      </c>
      <c r="D42">
        <v>0.41317797</v>
      </c>
      <c r="E42">
        <v>0.40415666</v>
      </c>
      <c r="G42" t="s">
        <v>7</v>
      </c>
      <c r="H42" s="1">
        <f>STDEV(B41:B43)*100</f>
        <v>0.878133794879231</v>
      </c>
      <c r="I42" s="1">
        <f>STDEV(C41:C43)*100</f>
        <v>0.887521366508433</v>
      </c>
      <c r="J42" s="1">
        <f>STDEV(D41:D43)*100</f>
        <v>0.176101833284987</v>
      </c>
      <c r="K42" s="1">
        <f>STDEV(E41:E43)*100</f>
        <v>0.189250109327137</v>
      </c>
    </row>
    <row r="43" spans="1:11">
      <c r="A43" t="s">
        <v>47</v>
      </c>
      <c r="B43">
        <v>0.26695618</v>
      </c>
      <c r="C43">
        <v>0.34667838</v>
      </c>
      <c r="D43">
        <v>0.4144384</v>
      </c>
      <c r="E43">
        <v>0.40515557</v>
      </c>
      <c r="H43" s="1"/>
      <c r="I43" s="1"/>
      <c r="J43" s="1"/>
      <c r="K43" s="1"/>
    </row>
    <row r="44" spans="1:11">
      <c r="A44" t="s">
        <v>48</v>
      </c>
      <c r="B44">
        <v>0.65520674</v>
      </c>
      <c r="C44">
        <v>0.82916486</v>
      </c>
      <c r="D44">
        <v>0.5473125</v>
      </c>
      <c r="E44">
        <v>0.53982264</v>
      </c>
      <c r="G44" t="s">
        <v>5</v>
      </c>
      <c r="H44" s="1">
        <f>AVERAGE(B44:B46)*100</f>
        <v>66.1445496666667</v>
      </c>
      <c r="I44" s="1">
        <f>AVERAGE(C44:C46)*100</f>
        <v>82.6757606666667</v>
      </c>
      <c r="J44" s="1">
        <f>AVERAGE(D44:D46)*100</f>
        <v>54.332765</v>
      </c>
      <c r="K44" s="1">
        <f>AVERAGE(E44:E46)*100</f>
        <v>53.3907733333333</v>
      </c>
    </row>
    <row r="45" spans="1:11">
      <c r="A45" t="s">
        <v>49</v>
      </c>
      <c r="B45">
        <v>0.65232837</v>
      </c>
      <c r="C45">
        <v>0.84170955</v>
      </c>
      <c r="D45">
        <v>0.54457003</v>
      </c>
      <c r="E45">
        <v>0.53670019</v>
      </c>
      <c r="G45" t="s">
        <v>7</v>
      </c>
      <c r="H45" s="1">
        <f>STDEV(B44:B46)*100</f>
        <v>1.33762333328345</v>
      </c>
      <c r="I45" s="1">
        <f>STDEV(C44:C46)*100</f>
        <v>1.6289524041022</v>
      </c>
      <c r="J45" s="1">
        <f>STDEV(D44:D46)*100</f>
        <v>0.473003546814396</v>
      </c>
      <c r="K45" s="1">
        <f>STDEV(E44:E46)*100</f>
        <v>0.770071786683773</v>
      </c>
    </row>
    <row r="46" spans="1:11">
      <c r="A46" t="s">
        <v>50</v>
      </c>
      <c r="B46">
        <v>0.67680138</v>
      </c>
      <c r="C46">
        <v>0.80939841</v>
      </c>
      <c r="D46">
        <v>0.53810042</v>
      </c>
      <c r="E46">
        <v>0.52520037</v>
      </c>
      <c r="H46" s="1"/>
      <c r="I46" s="1"/>
      <c r="J46" s="1"/>
      <c r="K46" s="1"/>
    </row>
    <row r="47" spans="1:11">
      <c r="A47" t="s">
        <v>51</v>
      </c>
      <c r="B47">
        <v>0.20584749</v>
      </c>
      <c r="C47">
        <v>0.28876042</v>
      </c>
      <c r="D47">
        <v>0.27651283</v>
      </c>
      <c r="E47">
        <v>0.26247066</v>
      </c>
      <c r="G47" t="s">
        <v>5</v>
      </c>
      <c r="H47" s="1">
        <f>AVERAGE(B47:B49)*100</f>
        <v>20.613389</v>
      </c>
      <c r="I47" s="1">
        <f>AVERAGE(C47:C49)*100</f>
        <v>28.9538846666667</v>
      </c>
      <c r="J47" s="1">
        <f>AVERAGE(D47:D49)*100</f>
        <v>27.503273</v>
      </c>
      <c r="K47" s="1">
        <f>AVERAGE(E47:E49)*100</f>
        <v>26.1018106666667</v>
      </c>
    </row>
    <row r="48" spans="1:11">
      <c r="A48" t="s">
        <v>52</v>
      </c>
      <c r="B48">
        <v>0.20070015</v>
      </c>
      <c r="C48">
        <v>0.2912071</v>
      </c>
      <c r="D48">
        <v>0.27049655</v>
      </c>
      <c r="E48">
        <v>0.25659978</v>
      </c>
      <c r="G48" t="s">
        <v>7</v>
      </c>
      <c r="H48" s="1">
        <f>STDEV(B47:B49)*100</f>
        <v>0.5582452730082</v>
      </c>
      <c r="I48" s="1">
        <f>STDEV(C47:C49)*100</f>
        <v>0.144582307981763</v>
      </c>
      <c r="J48" s="1">
        <f>STDEV(D47:D49)*100</f>
        <v>0.400669751596</v>
      </c>
      <c r="K48" s="1">
        <f>STDEV(E47:E49)*100</f>
        <v>0.390047004758829</v>
      </c>
    </row>
    <row r="49" spans="1:11">
      <c r="A49" t="s">
        <v>53</v>
      </c>
      <c r="B49">
        <v>0.21185403</v>
      </c>
      <c r="C49">
        <v>0.28864902</v>
      </c>
      <c r="D49">
        <v>0.27808881</v>
      </c>
      <c r="E49">
        <v>0.26398388</v>
      </c>
      <c r="H49" s="1"/>
      <c r="I49" s="1"/>
      <c r="J49" s="1"/>
      <c r="K49" s="1"/>
    </row>
    <row r="50" spans="1:11">
      <c r="A50" t="s">
        <v>54</v>
      </c>
      <c r="B50">
        <v>0.19298324</v>
      </c>
      <c r="C50">
        <v>0.21102177</v>
      </c>
      <c r="D50">
        <v>0.35463998</v>
      </c>
      <c r="E50">
        <v>0.34142113</v>
      </c>
      <c r="G50" t="s">
        <v>5</v>
      </c>
      <c r="H50" s="1">
        <f>AVERAGE(B50:B52)*100</f>
        <v>20.273278</v>
      </c>
      <c r="I50" s="1">
        <f>AVERAGE(C50:C52)*100</f>
        <v>21.64752</v>
      </c>
      <c r="J50" s="1">
        <f>AVERAGE(D50:D52)*100</f>
        <v>35.609275</v>
      </c>
      <c r="K50" s="1">
        <f>AVERAGE(E50:E52)*100</f>
        <v>34.39761</v>
      </c>
    </row>
    <row r="51" spans="1:11">
      <c r="A51" t="s">
        <v>55</v>
      </c>
      <c r="B51">
        <v>0.21855035</v>
      </c>
      <c r="C51">
        <v>0.23811284</v>
      </c>
      <c r="D51">
        <v>0.36709657</v>
      </c>
      <c r="E51">
        <v>0.35571471</v>
      </c>
      <c r="G51" t="s">
        <v>7</v>
      </c>
      <c r="H51" s="1">
        <f>STDEV(B50:B52)*100</f>
        <v>1.38215418640143</v>
      </c>
      <c r="I51" s="1">
        <f>STDEV(C50:C52)*100</f>
        <v>1.94917420573252</v>
      </c>
      <c r="J51" s="1">
        <f>STDEV(D50:D52)*100</f>
        <v>1.03541574106201</v>
      </c>
      <c r="K51" s="1">
        <f>STDEV(E50:E52)*100</f>
        <v>1.0692569384451</v>
      </c>
    </row>
    <row r="52" spans="1:11">
      <c r="A52" t="s">
        <v>56</v>
      </c>
      <c r="B52">
        <v>0.19666475</v>
      </c>
      <c r="C52">
        <v>0.20029099</v>
      </c>
      <c r="D52">
        <v>0.3465417</v>
      </c>
      <c r="E52">
        <v>0.33479246</v>
      </c>
      <c r="H52" s="1"/>
      <c r="I52" s="1"/>
      <c r="J52" s="1"/>
      <c r="K52" s="1"/>
    </row>
    <row r="53" spans="1:11">
      <c r="A53" t="s">
        <v>57</v>
      </c>
      <c r="B53">
        <v>0.72406292</v>
      </c>
      <c r="C53">
        <v>0.8260498</v>
      </c>
      <c r="D53">
        <v>0.58267128</v>
      </c>
      <c r="E53">
        <v>0.57541162</v>
      </c>
      <c r="G53" t="s">
        <v>5</v>
      </c>
      <c r="H53" s="1">
        <f>AVERAGE(B53:B55)*100</f>
        <v>72.1789936666667</v>
      </c>
      <c r="I53" s="1">
        <f>AVERAGE(C53:C55)*100</f>
        <v>81.9293736666667</v>
      </c>
      <c r="J53" s="1">
        <f>AVERAGE(D53:D55)*100</f>
        <v>57.6370156666667</v>
      </c>
      <c r="K53" s="1">
        <f>AVERAGE(E53:E55)*100</f>
        <v>56.7847746666667</v>
      </c>
    </row>
    <row r="54" spans="1:11">
      <c r="A54" t="s">
        <v>58</v>
      </c>
      <c r="B54">
        <v>0.71927977</v>
      </c>
      <c r="C54">
        <v>0.79712117</v>
      </c>
      <c r="D54">
        <v>0.56898117</v>
      </c>
      <c r="E54">
        <v>0.55977654</v>
      </c>
      <c r="G54" t="s">
        <v>7</v>
      </c>
      <c r="H54" s="1">
        <f>STDEV(B53:B55)*100</f>
        <v>0.240037974721366</v>
      </c>
      <c r="I54" s="1">
        <f>STDEV(C53:C55)*100</f>
        <v>1.96842027953695</v>
      </c>
      <c r="J54" s="1">
        <f>STDEV(D53:D55)*100</f>
        <v>0.69095848592396</v>
      </c>
      <c r="K54" s="1">
        <f>STDEV(E53:E55)*100</f>
        <v>0.782987688185028</v>
      </c>
    </row>
    <row r="55" spans="1:11">
      <c r="A55" t="s">
        <v>59</v>
      </c>
      <c r="B55">
        <v>0.72202712</v>
      </c>
      <c r="C55">
        <v>0.83471024</v>
      </c>
      <c r="D55">
        <v>0.57745802</v>
      </c>
      <c r="E55">
        <v>0.56835508</v>
      </c>
      <c r="H55" s="1"/>
      <c r="I55" s="1"/>
      <c r="J55" s="1"/>
      <c r="K55" s="1"/>
    </row>
    <row r="56" spans="1:11">
      <c r="A56" t="s">
        <v>60</v>
      </c>
      <c r="B56">
        <v>0.21467201</v>
      </c>
      <c r="C56">
        <v>0.28272805</v>
      </c>
      <c r="D56">
        <v>0.27662274</v>
      </c>
      <c r="E56">
        <v>0.26317972</v>
      </c>
      <c r="G56" t="s">
        <v>5</v>
      </c>
      <c r="H56" s="1">
        <f>AVERAGE(B56:B58)*100</f>
        <v>21.155834</v>
      </c>
      <c r="I56" s="1">
        <f>AVERAGE(C56:C58)*100</f>
        <v>28.6650946666667</v>
      </c>
      <c r="J56" s="1">
        <f>AVERAGE(D56:D58)*100</f>
        <v>27.7361293333333</v>
      </c>
      <c r="K56" s="1">
        <f>AVERAGE(E56:E58)*100</f>
        <v>26.398065</v>
      </c>
    </row>
    <row r="57" spans="1:11">
      <c r="A57" t="s">
        <v>61</v>
      </c>
      <c r="B57">
        <v>0.21124798</v>
      </c>
      <c r="C57">
        <v>0.27881545</v>
      </c>
      <c r="D57">
        <v>0.27640644</v>
      </c>
      <c r="E57">
        <v>0.26315764</v>
      </c>
      <c r="G57" t="s">
        <v>7</v>
      </c>
      <c r="H57" s="1">
        <f>STDEV(B56:B58)*100</f>
        <v>0.297067426307563</v>
      </c>
      <c r="I57" s="1">
        <f>STDEV(C56:C58)*100</f>
        <v>1.03692801112726</v>
      </c>
      <c r="J57" s="1">
        <f>STDEV(D56:D58)*100</f>
        <v>0.147051556487286</v>
      </c>
      <c r="K57" s="1">
        <f>STDEV(E56:E58)*100</f>
        <v>0.140641662543499</v>
      </c>
    </row>
    <row r="58" spans="1:11">
      <c r="A58" t="s">
        <v>62</v>
      </c>
      <c r="B58">
        <v>0.20875503</v>
      </c>
      <c r="C58">
        <v>0.29840934</v>
      </c>
      <c r="D58">
        <v>0.2790547</v>
      </c>
      <c r="E58">
        <v>0.26560459</v>
      </c>
      <c r="H58" s="1"/>
      <c r="I58" s="1"/>
      <c r="J58" s="1"/>
      <c r="K58" s="1"/>
    </row>
    <row r="59" spans="1:11">
      <c r="A59" t="s">
        <v>63</v>
      </c>
      <c r="B59">
        <v>0.22313239</v>
      </c>
      <c r="C59">
        <v>0.24033719</v>
      </c>
      <c r="D59">
        <v>0.37249118</v>
      </c>
      <c r="E59">
        <v>0.36082163</v>
      </c>
      <c r="G59" t="s">
        <v>5</v>
      </c>
      <c r="H59" s="1">
        <f>AVERAGE(B59:B61)*100</f>
        <v>22.568694</v>
      </c>
      <c r="I59" s="1">
        <f>AVERAGE(C59:C61)*100</f>
        <v>24.3775906666667</v>
      </c>
      <c r="J59" s="1">
        <f>AVERAGE(D59:D61)*100</f>
        <v>37.349193</v>
      </c>
      <c r="K59" s="1">
        <f>AVERAGE(E59:E61)*100</f>
        <v>36.3096753333333</v>
      </c>
    </row>
    <row r="60" spans="1:11">
      <c r="A60" t="s">
        <v>64</v>
      </c>
      <c r="B60">
        <v>0.22232901</v>
      </c>
      <c r="C60">
        <v>0.24647708</v>
      </c>
      <c r="D60">
        <v>0.37396052</v>
      </c>
      <c r="E60">
        <v>0.36349604</v>
      </c>
      <c r="G60" t="s">
        <v>7</v>
      </c>
      <c r="H60" s="1">
        <f>STDEV(B59:B61)*100</f>
        <v>0.513608992025062</v>
      </c>
      <c r="I60" s="1">
        <f>STDEV(C59:C61)*100</f>
        <v>0.313568811099466</v>
      </c>
      <c r="J60" s="1">
        <f>STDEV(D59:D61)*100</f>
        <v>0.0867257578865713</v>
      </c>
      <c r="K60" s="1">
        <f>STDEV(E59:E61)*100</f>
        <v>0.210408878425634</v>
      </c>
    </row>
    <row r="61" spans="1:11">
      <c r="A61" t="s">
        <v>65</v>
      </c>
      <c r="B61">
        <v>0.23159942</v>
      </c>
      <c r="C61">
        <v>0.24451345</v>
      </c>
      <c r="D61">
        <v>0.37402409</v>
      </c>
      <c r="E61">
        <v>0.36497259</v>
      </c>
      <c r="H61" s="1"/>
      <c r="I61" s="1"/>
      <c r="J61" s="1"/>
      <c r="K61" s="1"/>
    </row>
    <row r="62" spans="1:11">
      <c r="A62" t="s">
        <v>66</v>
      </c>
      <c r="B62">
        <v>0.4230274</v>
      </c>
      <c r="C62">
        <v>0.3443214</v>
      </c>
      <c r="D62">
        <v>0.27635852</v>
      </c>
      <c r="E62">
        <v>0.26079121</v>
      </c>
      <c r="G62" t="s">
        <v>5</v>
      </c>
      <c r="H62" s="1">
        <f>AVERAGE(B62:B64)*100</f>
        <v>43.3764926666667</v>
      </c>
      <c r="I62" s="1">
        <f>AVERAGE(C62:C64)*100</f>
        <v>34.0732793333333</v>
      </c>
      <c r="J62" s="1">
        <f>AVERAGE(D62:D64)*100</f>
        <v>28.081008</v>
      </c>
      <c r="K62" s="1">
        <f>AVERAGE(E62:E64)*100</f>
        <v>26.5909293333333</v>
      </c>
    </row>
    <row r="63" spans="1:11">
      <c r="A63" t="s">
        <v>67</v>
      </c>
      <c r="B63">
        <v>0.43494594</v>
      </c>
      <c r="C63">
        <v>0.34016693</v>
      </c>
      <c r="D63">
        <v>0.28334823</v>
      </c>
      <c r="E63">
        <v>0.26880878</v>
      </c>
      <c r="G63" t="s">
        <v>7</v>
      </c>
      <c r="H63" s="1">
        <f>STDEV(B62:B64)*100</f>
        <v>1.01984366081539</v>
      </c>
      <c r="I63" s="1">
        <f>STDEV(C62:C64)*100</f>
        <v>0.334180163828337</v>
      </c>
      <c r="J63" s="1">
        <f>STDEV(D62:D64)*100</f>
        <v>0.386779844900171</v>
      </c>
      <c r="K63" s="1">
        <f>STDEV(E62:E64)*100</f>
        <v>0.444544548422691</v>
      </c>
    </row>
    <row r="64" spans="1:11">
      <c r="A64" t="s">
        <v>68</v>
      </c>
      <c r="B64">
        <v>0.44332144</v>
      </c>
      <c r="C64">
        <v>0.33771005</v>
      </c>
      <c r="D64">
        <v>0.28272349</v>
      </c>
      <c r="E64">
        <v>0.26812789</v>
      </c>
      <c r="H64" s="1"/>
      <c r="I64" s="1"/>
      <c r="J64" s="1"/>
      <c r="K64" s="1"/>
    </row>
    <row r="65" spans="1:11">
      <c r="A65" t="s">
        <v>69</v>
      </c>
      <c r="B65">
        <v>0.45461315</v>
      </c>
      <c r="C65">
        <v>0.38741681</v>
      </c>
      <c r="D65">
        <v>0.29943082</v>
      </c>
      <c r="E65">
        <v>0.28309727</v>
      </c>
      <c r="G65" t="s">
        <v>5</v>
      </c>
      <c r="H65" s="1">
        <f>AVERAGE(B65:B67)*100</f>
        <v>46.2423353333333</v>
      </c>
      <c r="I65" s="1">
        <f>AVERAGE(C65:C67)*100</f>
        <v>37.545417</v>
      </c>
      <c r="J65" s="1">
        <f>AVERAGE(D65:D67)*100</f>
        <v>30.3152503333333</v>
      </c>
      <c r="K65" s="1">
        <f>AVERAGE(E65:E67)*100</f>
        <v>28.7206203333333</v>
      </c>
    </row>
    <row r="66" spans="1:11">
      <c r="A66" t="s">
        <v>70</v>
      </c>
      <c r="B66">
        <v>0.46273759</v>
      </c>
      <c r="C66">
        <v>0.36598057</v>
      </c>
      <c r="D66">
        <v>0.30205861</v>
      </c>
      <c r="E66">
        <v>0.2861996</v>
      </c>
      <c r="G66" t="s">
        <v>7</v>
      </c>
      <c r="H66" s="1">
        <f>STDEV(B65:B67)*100</f>
        <v>0.765792194588277</v>
      </c>
      <c r="I66" s="1">
        <f>STDEV(C65:C67)*100</f>
        <v>1.09327300536325</v>
      </c>
      <c r="J66" s="1">
        <f>STDEV(D65:D67)*100</f>
        <v>0.437248831278407</v>
      </c>
      <c r="K66" s="1">
        <f>STDEV(E65:E67)*100</f>
        <v>0.469389490702905</v>
      </c>
    </row>
    <row r="67" spans="1:11">
      <c r="A67" t="s">
        <v>71</v>
      </c>
      <c r="B67">
        <v>0.46991932</v>
      </c>
      <c r="C67">
        <v>0.37296513</v>
      </c>
      <c r="D67">
        <v>0.30796808</v>
      </c>
      <c r="E67">
        <v>0.29232174</v>
      </c>
      <c r="H67" s="1"/>
      <c r="I67" s="1"/>
      <c r="J67" s="1"/>
      <c r="K67" s="1"/>
    </row>
    <row r="68" spans="1:11">
      <c r="A68" t="s">
        <v>72</v>
      </c>
      <c r="B68">
        <v>0.46979541</v>
      </c>
      <c r="C68">
        <v>0.42890996</v>
      </c>
      <c r="D68">
        <v>0.30495346</v>
      </c>
      <c r="E68">
        <v>0.29140419</v>
      </c>
      <c r="G68" t="s">
        <v>5</v>
      </c>
      <c r="H68" s="1">
        <f>AVERAGE(B68:B70)*100</f>
        <v>46.8262923333333</v>
      </c>
      <c r="I68" s="1">
        <f>AVERAGE(C68:C70)*100</f>
        <v>42.317932</v>
      </c>
      <c r="J68" s="1">
        <f>AVERAGE(D68:D70)*100</f>
        <v>30.3803473333333</v>
      </c>
      <c r="K68" s="1">
        <f>AVERAGE(E68:E70)*100</f>
        <v>29.0149173333333</v>
      </c>
    </row>
    <row r="69" spans="1:11">
      <c r="A69" t="s">
        <v>73</v>
      </c>
      <c r="B69">
        <v>0.46791372</v>
      </c>
      <c r="C69">
        <v>0.42284751</v>
      </c>
      <c r="D69">
        <v>0.30407685</v>
      </c>
      <c r="E69">
        <v>0.29048875</v>
      </c>
      <c r="G69" t="s">
        <v>7</v>
      </c>
      <c r="H69" s="1">
        <f>STDEV(B68:B70)*100</f>
        <v>0.139115380143008</v>
      </c>
      <c r="I69" s="1">
        <f>STDEV(C68:C70)*100</f>
        <v>0.557214940819966</v>
      </c>
      <c r="J69" s="1">
        <f>STDEV(D68:D70)*100</f>
        <v>0.130827506933113</v>
      </c>
      <c r="K69" s="1">
        <f>STDEV(E68:E70)*100</f>
        <v>0.145483797119588</v>
      </c>
    </row>
    <row r="70" spans="1:11">
      <c r="A70" t="s">
        <v>74</v>
      </c>
      <c r="B70">
        <v>0.46707964</v>
      </c>
      <c r="C70">
        <v>0.41778049</v>
      </c>
      <c r="D70">
        <v>0.30238011</v>
      </c>
      <c r="E70">
        <v>0.28855458</v>
      </c>
      <c r="H70" s="1"/>
      <c r="I70" s="1"/>
      <c r="J70" s="1"/>
      <c r="K70" s="1"/>
    </row>
    <row r="71" spans="1:11">
      <c r="A71" t="s">
        <v>75</v>
      </c>
      <c r="B71">
        <v>0.47299403</v>
      </c>
      <c r="C71">
        <v>0.42135647</v>
      </c>
      <c r="D71">
        <v>0.30554396</v>
      </c>
      <c r="E71">
        <v>0.29227516</v>
      </c>
      <c r="G71" t="s">
        <v>5</v>
      </c>
      <c r="H71" s="1">
        <f>AVERAGE(B71:B73)*100</f>
        <v>46.546944</v>
      </c>
      <c r="I71" s="1">
        <f>AVERAGE(C71:C73)*100</f>
        <v>42.6493286666667</v>
      </c>
      <c r="J71" s="1">
        <f>AVERAGE(D71:D73)*100</f>
        <v>30.3042343333333</v>
      </c>
      <c r="K71" s="1">
        <f>AVERAGE(E71:E73)*100</f>
        <v>28.9624203333333</v>
      </c>
    </row>
    <row r="72" spans="1:11">
      <c r="A72" t="s">
        <v>76</v>
      </c>
      <c r="B72">
        <v>0.46214628</v>
      </c>
      <c r="C72">
        <v>0.42808789</v>
      </c>
      <c r="D72">
        <v>0.30172026</v>
      </c>
      <c r="E72">
        <v>0.28824311</v>
      </c>
      <c r="G72" t="s">
        <v>7</v>
      </c>
      <c r="H72" s="1">
        <f>STDEV(B71:B73)*100</f>
        <v>0.653126561619568</v>
      </c>
      <c r="I72" s="1">
        <f>STDEV(C71:C73)*100</f>
        <v>0.455394996439723</v>
      </c>
      <c r="J72" s="1">
        <f>STDEV(D71:D73)*100</f>
        <v>0.216763571335991</v>
      </c>
      <c r="K72" s="1">
        <f>STDEV(E71:E73)*100</f>
        <v>0.229646934763634</v>
      </c>
    </row>
    <row r="73" spans="1:11">
      <c r="A73" t="s">
        <v>77</v>
      </c>
      <c r="B73">
        <v>0.46126801</v>
      </c>
      <c r="C73">
        <v>0.4300355</v>
      </c>
      <c r="D73">
        <v>0.30186281</v>
      </c>
      <c r="E73">
        <v>0.28835434</v>
      </c>
      <c r="H73" s="1"/>
      <c r="I73" s="1"/>
      <c r="J73" s="1"/>
      <c r="K73" s="1"/>
    </row>
    <row r="74" spans="1:11">
      <c r="A74" t="s">
        <v>78</v>
      </c>
      <c r="B74">
        <v>0.43802661</v>
      </c>
      <c r="C74">
        <v>0.34547716</v>
      </c>
      <c r="D74">
        <v>0.28531048</v>
      </c>
      <c r="E74">
        <v>0.27041504</v>
      </c>
      <c r="G74" t="s">
        <v>5</v>
      </c>
      <c r="H74" s="1">
        <f>AVERAGE(B74:B76)*100</f>
        <v>43.444701</v>
      </c>
      <c r="I74" s="1">
        <f>AVERAGE(C74:C76)*100</f>
        <v>34.4903646666667</v>
      </c>
      <c r="J74" s="1">
        <f>AVERAGE(D74:D76)*100</f>
        <v>28.3372966666667</v>
      </c>
      <c r="K74" s="1">
        <f>AVERAGE(E74:E76)*100</f>
        <v>26.838427</v>
      </c>
    </row>
    <row r="75" spans="1:11">
      <c r="A75" t="s">
        <v>79</v>
      </c>
      <c r="B75">
        <v>0.42825752</v>
      </c>
      <c r="C75">
        <v>0.34818992</v>
      </c>
      <c r="D75">
        <v>0.28093871</v>
      </c>
      <c r="E75">
        <v>0.26617301</v>
      </c>
      <c r="G75" t="s">
        <v>7</v>
      </c>
      <c r="H75" s="1">
        <f>STDEV(B74:B76)*100</f>
        <v>0.538213937167183</v>
      </c>
      <c r="I75" s="1">
        <f>STDEV(C74:C76)*100</f>
        <v>0.360738569306546</v>
      </c>
      <c r="J75" s="1">
        <f>STDEV(D74:D76)*100</f>
        <v>0.222781477857414</v>
      </c>
      <c r="K75" s="1">
        <f>STDEV(E74:E76)*100</f>
        <v>0.212676682085743</v>
      </c>
    </row>
    <row r="76" spans="1:11">
      <c r="A76" t="s">
        <v>80</v>
      </c>
      <c r="B76">
        <v>0.4370569</v>
      </c>
      <c r="C76">
        <v>0.34104386</v>
      </c>
      <c r="D76">
        <v>0.28386971</v>
      </c>
      <c r="E76">
        <v>0.26856476</v>
      </c>
      <c r="H76" s="1"/>
      <c r="I76" s="1"/>
      <c r="J76" s="1"/>
      <c r="K76" s="1"/>
    </row>
    <row r="77" spans="1:11">
      <c r="A77" t="s">
        <v>81</v>
      </c>
      <c r="B77">
        <v>0.44467548</v>
      </c>
      <c r="C77">
        <v>0.34304851</v>
      </c>
      <c r="D77">
        <v>0.28662109</v>
      </c>
      <c r="E77">
        <v>0.27184302</v>
      </c>
      <c r="G77" t="s">
        <v>5</v>
      </c>
      <c r="H77" s="1">
        <f>AVERAGE(B77:B79)*100</f>
        <v>45.299264</v>
      </c>
      <c r="I77" s="1">
        <f>AVERAGE(C77:C79)*100</f>
        <v>34.2588533333333</v>
      </c>
      <c r="J77" s="1">
        <f>AVERAGE(D77:D79)*100</f>
        <v>28.9526293333333</v>
      </c>
      <c r="K77" s="1">
        <f>AVERAGE(E77:E79)*100</f>
        <v>27.4894506666667</v>
      </c>
    </row>
    <row r="78" spans="1:11">
      <c r="A78" t="s">
        <v>82</v>
      </c>
      <c r="B78">
        <v>0.44743848</v>
      </c>
      <c r="C78">
        <v>0.33827111</v>
      </c>
      <c r="D78">
        <v>0.28488553</v>
      </c>
      <c r="E78">
        <v>0.27001822</v>
      </c>
      <c r="G78" t="s">
        <v>7</v>
      </c>
      <c r="H78" s="1">
        <f>STDEV(B77:B79)*100</f>
        <v>1.2092091678316</v>
      </c>
      <c r="I78" s="1">
        <f>STDEV(C77:C79)*100</f>
        <v>0.410680030919855</v>
      </c>
      <c r="J78" s="1">
        <f>STDEV(D77:D79)*100</f>
        <v>0.659236314452057</v>
      </c>
      <c r="K78" s="1">
        <f>STDEV(E77:E79)*100</f>
        <v>0.692601373652503</v>
      </c>
    </row>
    <row r="79" spans="1:11">
      <c r="A79" t="s">
        <v>83</v>
      </c>
      <c r="B79">
        <v>0.46686396</v>
      </c>
      <c r="C79">
        <v>0.34644598</v>
      </c>
      <c r="D79">
        <v>0.29707226</v>
      </c>
      <c r="E79">
        <v>0.28282228</v>
      </c>
      <c r="H79" s="1"/>
      <c r="I79" s="1"/>
      <c r="J79" s="1"/>
      <c r="K7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GeneralZ</cp:lastModifiedBy>
  <dcterms:created xsi:type="dcterms:W3CDTF">2025-10-20T16:48:00Z</dcterms:created>
  <dcterms:modified xsi:type="dcterms:W3CDTF">2025-10-20T19:27:54Z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